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CURSO EXCEL Y POWER BI – ANALISIS Y VISUALIZACION DE DATOS - UDEMY\PROYECTO EXCEL 1\"/>
    </mc:Choice>
  </mc:AlternateContent>
  <xr:revisionPtr revIDLastSave="0" documentId="13_ncr:1_{316C85F5-256D-4038-A831-01DF9D3C89BA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Ventas_Datos" sheetId="1" r:id="rId1"/>
    <sheet name="TD_Ventas" sheetId="3" state="hidden" r:id="rId2"/>
    <sheet name="Informe_Ventas" sheetId="4" r:id="rId3"/>
  </sheets>
  <definedNames>
    <definedName name="_xlnm._FilterDatabase" localSheetId="0" hidden="1">Ventas_Datos!$A$1:$D$19</definedName>
    <definedName name="SegmentaciónDeDatos_Producto">#N/A</definedName>
    <definedName name="SegmentaciónDeDatos_Producto1">#N/A</definedName>
    <definedName name="SegmentaciónDeDatos_Region">#N/A</definedName>
    <definedName name="SegmentaciónDeDatos_Region1">#N/A</definedName>
    <definedName name="SegmentaciónDeDatos_Vendedor">#N/A</definedName>
    <definedName name="SegmentaciónDeDatos_Vendedor1">#N/A</definedName>
  </definedNames>
  <calcPr calcId="191029"/>
  <pivotCaches>
    <pivotCache cacheId="81" r:id="rId4"/>
    <pivotCache cacheId="86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" l="1"/>
</calcChain>
</file>

<file path=xl/sharedStrings.xml><?xml version="1.0" encoding="utf-8"?>
<sst xmlns="http://schemas.openxmlformats.org/spreadsheetml/2006/main" count="127" uniqueCount="26">
  <si>
    <t>Region</t>
  </si>
  <si>
    <t>Producto</t>
  </si>
  <si>
    <t>Vendedor</t>
  </si>
  <si>
    <t>Ventas</t>
  </si>
  <si>
    <t>Central</t>
  </si>
  <si>
    <t>Accesorios</t>
  </si>
  <si>
    <t>David</t>
  </si>
  <si>
    <t>Karen</t>
  </si>
  <si>
    <t>Dispositivos</t>
  </si>
  <si>
    <t>Sistemas</t>
  </si>
  <si>
    <t>Este</t>
  </si>
  <si>
    <t>Ana</t>
  </si>
  <si>
    <t>Lucas</t>
  </si>
  <si>
    <t>Oeste</t>
  </si>
  <si>
    <t>Kevin</t>
  </si>
  <si>
    <t>Sara</t>
  </si>
  <si>
    <t>Total</t>
  </si>
  <si>
    <t>Suma de Ventas</t>
  </si>
  <si>
    <t>Etiquetas de fila</t>
  </si>
  <si>
    <t>Total general</t>
  </si>
  <si>
    <t>Etiquetas de columna</t>
  </si>
  <si>
    <t>Región</t>
  </si>
  <si>
    <t>S/ Ventas</t>
  </si>
  <si>
    <t>Máx. de Ventas</t>
  </si>
  <si>
    <t>Total General</t>
  </si>
  <si>
    <t>INFORME DE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</si>
</sst>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S/&quot;\ * #,##0.00_-;\-&quot;S/&quot;\ * #,##0.00_-;_-&quot;S/&quot;\ * &quot;-&quot;??_-;_-@_-"/>
    <numFmt numFmtId="164" formatCode="&quot;S/&quot;\ #,##0.00"/>
  </numFmts>
  <fonts count="3" x14ac:knownFonts="1">
    <font>
      <sz val="11"/>
      <color theme="1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2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0" xfId="0" applyAlignment="1">
      <alignment horizontal="left" indent="2"/>
    </xf>
    <xf numFmtId="0" fontId="0" fillId="0" borderId="1" xfId="0" pivotButton="1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4" fontId="0" fillId="0" borderId="11" xfId="0" applyNumberFormat="1" applyBorder="1"/>
    <xf numFmtId="164" fontId="0" fillId="0" borderId="10" xfId="0" applyNumberFormat="1" applyBorder="1"/>
    <xf numFmtId="164" fontId="0" fillId="0" borderId="12" xfId="0" applyNumberFormat="1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1" xfId="0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1" xfId="0" applyFont="1" applyBorder="1"/>
    <xf numFmtId="164" fontId="2" fillId="0" borderId="1" xfId="0" applyNumberFormat="1" applyFont="1" applyBorder="1"/>
    <xf numFmtId="0" fontId="1" fillId="0" borderId="0" xfId="0" applyFont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35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2.xml"/><Relationship Id="rId15" Type="http://schemas.openxmlformats.org/officeDocument/2006/relationships/calcChain" Target="calcChain.xml"/><Relationship Id="rId10" Type="http://schemas.microsoft.com/office/2007/relationships/slicerCache" Target="slicerCaches/slicerCache5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[Ventas.xlsm]TD_Ventas!TD_Venta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TD_Ventas!$E$3:$E$4</c:f>
              <c:strCache>
                <c:ptCount val="1"/>
                <c:pt idx="0">
                  <c:v>Accesorios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TD_Ventas!$D$5:$D$14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TD_Ventas!$E$5:$E$14</c:f>
              <c:numCache>
                <c:formatCode>"S/"\ #,##0.00</c:formatCode>
                <c:ptCount val="6"/>
                <c:pt idx="0">
                  <c:v>8287</c:v>
                </c:pt>
                <c:pt idx="1">
                  <c:v>6909</c:v>
                </c:pt>
                <c:pt idx="2">
                  <c:v>9323</c:v>
                </c:pt>
                <c:pt idx="3">
                  <c:v>7667</c:v>
                </c:pt>
                <c:pt idx="4">
                  <c:v>4744</c:v>
                </c:pt>
                <c:pt idx="5">
                  <c:v>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F7-4939-A575-E7CC11643A69}"/>
            </c:ext>
          </c:extLst>
        </c:ser>
        <c:ser>
          <c:idx val="1"/>
          <c:order val="1"/>
          <c:tx>
            <c:strRef>
              <c:f>TD_Ventas!$F$3:$F$4</c:f>
              <c:strCache>
                <c:ptCount val="1"/>
                <c:pt idx="0">
                  <c:v>Dispositivos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TD_Ventas!$D$5:$D$14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TD_Ventas!$F$5:$F$14</c:f>
              <c:numCache>
                <c:formatCode>"S/"\ #,##0.00</c:formatCode>
                <c:ptCount val="6"/>
                <c:pt idx="0">
                  <c:v>11420</c:v>
                </c:pt>
                <c:pt idx="1">
                  <c:v>12948</c:v>
                </c:pt>
                <c:pt idx="2">
                  <c:v>10348</c:v>
                </c:pt>
                <c:pt idx="3">
                  <c:v>9312</c:v>
                </c:pt>
                <c:pt idx="4">
                  <c:v>10711</c:v>
                </c:pt>
                <c:pt idx="5">
                  <c:v>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F7-4939-A575-E7CC11643A69}"/>
            </c:ext>
          </c:extLst>
        </c:ser>
        <c:ser>
          <c:idx val="2"/>
          <c:order val="2"/>
          <c:tx>
            <c:strRef>
              <c:f>TD_Ventas!$G$3:$G$4</c:f>
              <c:strCache>
                <c:ptCount val="1"/>
                <c:pt idx="0">
                  <c:v>Sistemas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TD_Ventas!$D$5:$D$14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TD_Ventas!$G$5:$G$14</c:f>
              <c:numCache>
                <c:formatCode>"S/"\ #,##0.00</c:formatCode>
                <c:ptCount val="6"/>
                <c:pt idx="0">
                  <c:v>20098</c:v>
                </c:pt>
                <c:pt idx="1">
                  <c:v>30633</c:v>
                </c:pt>
                <c:pt idx="2">
                  <c:v>13531</c:v>
                </c:pt>
                <c:pt idx="3">
                  <c:v>13374</c:v>
                </c:pt>
                <c:pt idx="4">
                  <c:v>32855</c:v>
                </c:pt>
                <c:pt idx="5">
                  <c:v>23151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F7-4939-A575-E7CC11643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6116944"/>
        <c:axId val="1458434240"/>
      </c:barChart>
      <c:catAx>
        <c:axId val="145611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8434240"/>
        <c:crosses val="autoZero"/>
        <c:auto val="1"/>
        <c:lblAlgn val="ctr"/>
        <c:lblOffset val="100"/>
        <c:noMultiLvlLbl val="0"/>
      </c:catAx>
      <c:valAx>
        <c:axId val="145843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611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[Ventas.xlsm]Informe_Ventas!TD_Ventas_Region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REGIÓN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Informe_Ventas!$O$14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Informe_Ventas!$N$15:$N$17</c:f>
              <c:strCache>
                <c:ptCount val="3"/>
                <c:pt idx="0">
                  <c:v>Central</c:v>
                </c:pt>
                <c:pt idx="1">
                  <c:v>Este</c:v>
                </c:pt>
                <c:pt idx="2">
                  <c:v>Oeste</c:v>
                </c:pt>
              </c:strCache>
            </c:strRef>
          </c:cat>
          <c:val>
            <c:numRef>
              <c:f>Informe_Ventas!$O$15:$O$17</c:f>
              <c:numCache>
                <c:formatCode>"S/"\ #,##0.00</c:formatCode>
                <c:ptCount val="3"/>
                <c:pt idx="0">
                  <c:v>90295</c:v>
                </c:pt>
                <c:pt idx="1">
                  <c:v>63555</c:v>
                </c:pt>
                <c:pt idx="2">
                  <c:v>85683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30-40DB-927C-6C759C231ED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[Ventas.xlsm]Informe_Ventas!TD_Ventas_Producto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PRODUCTO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5400" cap="rnd">
            <a:solidFill>
              <a:schemeClr val="accent2"/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/>
            </a:soli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Informe_Ventas!$O$21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Informe_Ventas!$N$22:$N$24</c:f>
              <c:strCache>
                <c:ptCount val="3"/>
                <c:pt idx="0">
                  <c:v>Accesorios</c:v>
                </c:pt>
                <c:pt idx="1">
                  <c:v>Dispositivos</c:v>
                </c:pt>
                <c:pt idx="2">
                  <c:v>Sistemas</c:v>
                </c:pt>
              </c:strCache>
            </c:strRef>
          </c:cat>
          <c:val>
            <c:numRef>
              <c:f>Informe_Ventas!$O$22:$O$24</c:f>
              <c:numCache>
                <c:formatCode>"S/"\ #,##0.00</c:formatCode>
                <c:ptCount val="3"/>
                <c:pt idx="0">
                  <c:v>42372</c:v>
                </c:pt>
                <c:pt idx="1">
                  <c:v>63519</c:v>
                </c:pt>
                <c:pt idx="2">
                  <c:v>133642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4-4310-B8DB-6BA693FB8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752624"/>
        <c:axId val="1245751376"/>
      </c:radarChart>
      <c:catAx>
        <c:axId val="124575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45751376"/>
        <c:crosses val="autoZero"/>
        <c:auto val="1"/>
        <c:lblAlgn val="ctr"/>
        <c:lblOffset val="100"/>
        <c:noMultiLvlLbl val="0"/>
      </c:catAx>
      <c:valAx>
        <c:axId val="12457513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crossAx val="124575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[Ventas.xlsm]Informe_Ventas!TD_Ventas_Vendedor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VENTAS POR VENDEDOR</a:t>
            </a:r>
            <a:endParaRPr lang="es-E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Informe_Ventas!$O$28</c:f>
              <c:strCache>
                <c:ptCount val="1"/>
                <c:pt idx="0">
                  <c:v>Total</c:v>
                </c:pt>
              </c:strCache>
            </c:strRef>
          </c:tx>
          <c:invertIfNegative val="1"/>
          <c:dPt>
            <c:idx val="0"/>
            <c:invertIfNegative val="1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5FD-4E51-842C-373A5EE08EC2}"/>
              </c:ext>
            </c:extLst>
          </c:dPt>
          <c:dPt>
            <c:idx val="1"/>
            <c:invertIfNegative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FD-4E51-842C-373A5EE08EC2}"/>
              </c:ext>
            </c:extLst>
          </c:dPt>
          <c:dPt>
            <c:idx val="2"/>
            <c:invertIfNegative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FD-4E51-842C-373A5EE08EC2}"/>
              </c:ext>
            </c:extLst>
          </c:dPt>
          <c:dPt>
            <c:idx val="3"/>
            <c:invertIfNegative val="1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5FD-4E51-842C-373A5EE08EC2}"/>
              </c:ext>
            </c:extLst>
          </c:dPt>
          <c:dPt>
            <c:idx val="4"/>
            <c:invertIfNegative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144-4FB8-9342-22CD86674C99}"/>
              </c:ext>
            </c:extLst>
          </c:dPt>
          <c:dPt>
            <c:idx val="5"/>
            <c:invertIfNegative val="1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5FD-4E51-842C-373A5EE08E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Informe_Ventas!$N$29:$N$34</c:f>
              <c:strCache>
                <c:ptCount val="6"/>
                <c:pt idx="0">
                  <c:v>Ana</c:v>
                </c:pt>
                <c:pt idx="1">
                  <c:v>David</c:v>
                </c:pt>
                <c:pt idx="2">
                  <c:v>Karen</c:v>
                </c:pt>
                <c:pt idx="3">
                  <c:v>Kevin</c:v>
                </c:pt>
                <c:pt idx="4">
                  <c:v>Lucas</c:v>
                </c:pt>
                <c:pt idx="5">
                  <c:v>Sara</c:v>
                </c:pt>
              </c:strCache>
            </c:strRef>
          </c:cat>
          <c:val>
            <c:numRef>
              <c:f>Informe_Ventas!$O$29:$O$34</c:f>
              <c:numCache>
                <c:formatCode>"S/"\ #,##0.00</c:formatCode>
                <c:ptCount val="6"/>
                <c:pt idx="0">
                  <c:v>33202</c:v>
                </c:pt>
                <c:pt idx="1">
                  <c:v>39805</c:v>
                </c:pt>
                <c:pt idx="2">
                  <c:v>50490</c:v>
                </c:pt>
                <c:pt idx="3">
                  <c:v>48310</c:v>
                </c:pt>
                <c:pt idx="4">
                  <c:v>30353</c:v>
                </c:pt>
                <c:pt idx="5">
                  <c:v>37373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44-4FB8-9342-22CD86674C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45754288"/>
        <c:axId val="1245750960"/>
      </c:barChart>
      <c:catAx>
        <c:axId val="124575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45750960"/>
        <c:crosses val="autoZero"/>
        <c:auto val="1"/>
        <c:lblAlgn val="ctr"/>
        <c:lblOffset val="100"/>
        <c:noMultiLvlLbl val="0"/>
      </c:catAx>
      <c:valAx>
        <c:axId val="1245750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out"/>
        <c:minorTickMark val="none"/>
        <c:tickLblPos val="nextTo"/>
        <c:crossAx val="124575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266700</xdr:colOff>
      <xdr:row>1</xdr:row>
      <xdr:rowOff>15241</xdr:rowOff>
    </xdr:from>
    <xdr:to>
      <xdr:col>7</xdr:col>
      <xdr:colOff>38100</xdr:colOff>
      <xdr:row>8</xdr:row>
      <xdr:rowOff>45721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gion">
              <a:extLst>
                <a:ext uri="{FF2B5EF4-FFF2-40B4-BE49-F238E27FC236}">
                  <a16:creationId xmlns:a16="http://schemas.microsoft.com/office/drawing/2014/main" id="{EB03F57C-F5BA-8A98-B040-9077782D9E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93820" y="190501"/>
              <a:ext cx="18288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335280</xdr:colOff>
      <xdr:row>1</xdr:row>
      <xdr:rowOff>15241</xdr:rowOff>
    </xdr:from>
    <xdr:to>
      <xdr:col>10</xdr:col>
      <xdr:colOff>106680</xdr:colOff>
      <xdr:row>8</xdr:row>
      <xdr:rowOff>68580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roducto">
              <a:extLst>
                <a:ext uri="{FF2B5EF4-FFF2-40B4-BE49-F238E27FC236}">
                  <a16:creationId xmlns:a16="http://schemas.microsoft.com/office/drawing/2014/main" id="{F1C36C21-14BE-6949-9DC0-084A5BEA3D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19800" y="190501"/>
              <a:ext cx="1828800" cy="12801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274320</xdr:colOff>
      <xdr:row>9</xdr:row>
      <xdr:rowOff>121921</xdr:rowOff>
    </xdr:from>
    <xdr:to>
      <xdr:col>10</xdr:col>
      <xdr:colOff>114300</xdr:colOff>
      <xdr:row>15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Vendedor">
              <a:extLst>
                <a:ext uri="{FF2B5EF4-FFF2-40B4-BE49-F238E27FC236}">
                  <a16:creationId xmlns:a16="http://schemas.microsoft.com/office/drawing/2014/main" id="{C0B47EC8-3556-70A1-1751-FB27C07E66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01440" y="1699261"/>
              <a:ext cx="3954780" cy="10439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16</xdr:row>
      <xdr:rowOff>0</xdr:rowOff>
    </xdr:from>
    <xdr:to>
      <xdr:col>7</xdr:col>
      <xdr:colOff>327660</xdr:colOff>
      <xdr:row>31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7988F3C-6AE2-0D23-6E51-D6B2B2FF6F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2</xdr:col>
      <xdr:colOff>769620</xdr:colOff>
      <xdr:row>11</xdr:row>
      <xdr:rowOff>160020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on 1">
              <a:extLst>
                <a:ext uri="{FF2B5EF4-FFF2-40B4-BE49-F238E27FC236}">
                  <a16:creationId xmlns:a16="http://schemas.microsoft.com/office/drawing/2014/main" id="{0F4EB7E4-85AE-DB45-E3FD-6773D5290D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440" y="876300"/>
              <a:ext cx="18288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14</xdr:row>
      <xdr:rowOff>163830</xdr:rowOff>
    </xdr:from>
    <xdr:to>
      <xdr:col>2</xdr:col>
      <xdr:colOff>769620</xdr:colOff>
      <xdr:row>22</xdr:row>
      <xdr:rowOff>41910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ucto 1">
              <a:extLst>
                <a:ext uri="{FF2B5EF4-FFF2-40B4-BE49-F238E27FC236}">
                  <a16:creationId xmlns:a16="http://schemas.microsoft.com/office/drawing/2014/main" id="{6C4820E7-1E28-5799-798E-A83B8B6674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440" y="2617470"/>
              <a:ext cx="1828800" cy="12801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769620</xdr:colOff>
      <xdr:row>32</xdr:row>
      <xdr:rowOff>45720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Vendedor 1">
              <a:extLst>
                <a:ext uri="{FF2B5EF4-FFF2-40B4-BE49-F238E27FC236}">
                  <a16:creationId xmlns:a16="http://schemas.microsoft.com/office/drawing/2014/main" id="{A7928EC7-B682-515F-DE56-F17A7714C7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440" y="4381500"/>
              <a:ext cx="1828800" cy="12725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5</xdr:row>
      <xdr:rowOff>0</xdr:rowOff>
    </xdr:from>
    <xdr:to>
      <xdr:col>7</xdr:col>
      <xdr:colOff>605997</xdr:colOff>
      <xdr:row>16</xdr:row>
      <xdr:rowOff>68580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37CDE17-158B-1DE9-7A54-499AB5C87F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5</xdr:row>
      <xdr:rowOff>0</xdr:rowOff>
    </xdr:from>
    <xdr:to>
      <xdr:col>12</xdr:col>
      <xdr:colOff>624840</xdr:colOff>
      <xdr:row>16</xdr:row>
      <xdr:rowOff>68580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0EB5FEA-D2AC-65A7-BA19-8164524A8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91440</xdr:colOff>
      <xdr:row>19</xdr:row>
      <xdr:rowOff>0</xdr:rowOff>
    </xdr:from>
    <xdr:to>
      <xdr:col>11</xdr:col>
      <xdr:colOff>487680</xdr:colOff>
      <xdr:row>34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F231D0-1C4B-023E-AE54-197E5DB3E2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BRIZIO" refreshedDate="45123.492181365742" createdVersion="8" refreshedVersion="8" minRefreshableVersion="3" recordCount="18" xr:uid="{9A170BE7-16A0-4539-8923-1CCB29BFC7AF}">
  <cacheSource type="worksheet">
    <worksheetSource name="Tabla1"/>
  </cacheSource>
  <cacheFields count="4">
    <cacheField name="Region" numFmtId="0">
      <sharedItems count="3">
        <s v="Central"/>
        <s v="Este"/>
        <s v="Oeste"/>
      </sharedItems>
    </cacheField>
    <cacheField name="Producto" numFmtId="0">
      <sharedItems count="3">
        <s v="Accesorios"/>
        <s v="Dispositivos"/>
        <s v="Sistemas"/>
      </sharedItems>
    </cacheField>
    <cacheField name="Vendedor" numFmtId="0">
      <sharedItems count="7">
        <s v="David"/>
        <s v="Karen"/>
        <s v="Ana"/>
        <s v="Lucas"/>
        <s v="Kevin"/>
        <s v="Sara"/>
        <s v="Carlos" u="1"/>
      </sharedItems>
    </cacheField>
    <cacheField name="Ventas" numFmtId="44">
      <sharedItems containsSemiMixedTypes="0" containsString="0" containsNumber="1" containsInteger="1" minValue="4744" maxValue="32855"/>
    </cacheField>
  </cacheFields>
  <extLst>
    <ext xmlns:x14="http://schemas.microsoft.com/office/spreadsheetml/2009/9/main" uri="{725AE2AE-9491-48be-B2B4-4EB974FC3084}">
      <x14:pivotCacheDefinition pivotCacheId="319516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BRIZIO" refreshedDate="45123.492181828704" createdVersion="8" refreshedVersion="8" minRefreshableVersion="3" recordCount="18" xr:uid="{805CC46D-5EFB-483A-8622-941CB138E305}">
  <cacheSource type="worksheet">
    <worksheetSource name="Tabla1"/>
  </cacheSource>
  <cacheFields count="4">
    <cacheField name="Region" numFmtId="0">
      <sharedItems count="3">
        <s v="Central"/>
        <s v="Este"/>
        <s v="Oeste"/>
      </sharedItems>
    </cacheField>
    <cacheField name="Producto" numFmtId="0">
      <sharedItems count="3">
        <s v="Accesorios"/>
        <s v="Dispositivos"/>
        <s v="Sistemas"/>
      </sharedItems>
    </cacheField>
    <cacheField name="Vendedor" numFmtId="0">
      <sharedItems count="7">
        <s v="David"/>
        <s v="Karen"/>
        <s v="Ana"/>
        <s v="Lucas"/>
        <s v="Kevin"/>
        <s v="Sara"/>
        <s v="Carlos" u="1"/>
      </sharedItems>
    </cacheField>
    <cacheField name="Ventas" numFmtId="44">
      <sharedItems containsSemiMixedTypes="0" containsString="0" containsNumber="1" containsInteger="1" minValue="4744" maxValue="32855"/>
    </cacheField>
  </cacheFields>
  <extLst>
    <ext xmlns:x14="http://schemas.microsoft.com/office/spreadsheetml/2009/9/main" uri="{725AE2AE-9491-48be-B2B4-4EB974FC3084}">
      <x14:pivotCacheDefinition pivotCacheId="135914009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8287"/>
  </r>
  <r>
    <x v="0"/>
    <x v="0"/>
    <x v="1"/>
    <n v="6909"/>
  </r>
  <r>
    <x v="0"/>
    <x v="1"/>
    <x v="0"/>
    <n v="11420"/>
  </r>
  <r>
    <x v="0"/>
    <x v="1"/>
    <x v="1"/>
    <n v="12948"/>
  </r>
  <r>
    <x v="0"/>
    <x v="2"/>
    <x v="0"/>
    <n v="20098"/>
  </r>
  <r>
    <x v="0"/>
    <x v="2"/>
    <x v="1"/>
    <n v="30633"/>
  </r>
  <r>
    <x v="1"/>
    <x v="0"/>
    <x v="2"/>
    <n v="9323"/>
  </r>
  <r>
    <x v="1"/>
    <x v="0"/>
    <x v="3"/>
    <n v="7667"/>
  </r>
  <r>
    <x v="1"/>
    <x v="1"/>
    <x v="2"/>
    <n v="10348"/>
  </r>
  <r>
    <x v="1"/>
    <x v="1"/>
    <x v="3"/>
    <n v="9312"/>
  </r>
  <r>
    <x v="1"/>
    <x v="2"/>
    <x v="2"/>
    <n v="13531"/>
  </r>
  <r>
    <x v="1"/>
    <x v="2"/>
    <x v="3"/>
    <n v="13374"/>
  </r>
  <r>
    <x v="2"/>
    <x v="0"/>
    <x v="4"/>
    <n v="4744"/>
  </r>
  <r>
    <x v="2"/>
    <x v="0"/>
    <x v="5"/>
    <n v="5442"/>
  </r>
  <r>
    <x v="2"/>
    <x v="1"/>
    <x v="4"/>
    <n v="10711"/>
  </r>
  <r>
    <x v="2"/>
    <x v="1"/>
    <x v="5"/>
    <n v="8780"/>
  </r>
  <r>
    <x v="2"/>
    <x v="2"/>
    <x v="4"/>
    <n v="32855"/>
  </r>
  <r>
    <x v="2"/>
    <x v="2"/>
    <x v="5"/>
    <n v="2315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8287"/>
  </r>
  <r>
    <x v="0"/>
    <x v="0"/>
    <x v="1"/>
    <n v="6909"/>
  </r>
  <r>
    <x v="0"/>
    <x v="1"/>
    <x v="0"/>
    <n v="11420"/>
  </r>
  <r>
    <x v="0"/>
    <x v="1"/>
    <x v="1"/>
    <n v="12948"/>
  </r>
  <r>
    <x v="0"/>
    <x v="2"/>
    <x v="0"/>
    <n v="20098"/>
  </r>
  <r>
    <x v="0"/>
    <x v="2"/>
    <x v="1"/>
    <n v="30633"/>
  </r>
  <r>
    <x v="1"/>
    <x v="0"/>
    <x v="2"/>
    <n v="9323"/>
  </r>
  <r>
    <x v="1"/>
    <x v="0"/>
    <x v="3"/>
    <n v="7667"/>
  </r>
  <r>
    <x v="1"/>
    <x v="1"/>
    <x v="2"/>
    <n v="10348"/>
  </r>
  <r>
    <x v="1"/>
    <x v="1"/>
    <x v="3"/>
    <n v="9312"/>
  </r>
  <r>
    <x v="1"/>
    <x v="2"/>
    <x v="2"/>
    <n v="13531"/>
  </r>
  <r>
    <x v="1"/>
    <x v="2"/>
    <x v="3"/>
    <n v="13374"/>
  </r>
  <r>
    <x v="2"/>
    <x v="0"/>
    <x v="4"/>
    <n v="4744"/>
  </r>
  <r>
    <x v="2"/>
    <x v="0"/>
    <x v="5"/>
    <n v="5442"/>
  </r>
  <r>
    <x v="2"/>
    <x v="1"/>
    <x v="4"/>
    <n v="10711"/>
  </r>
  <r>
    <x v="2"/>
    <x v="1"/>
    <x v="5"/>
    <n v="8780"/>
  </r>
  <r>
    <x v="2"/>
    <x v="2"/>
    <x v="4"/>
    <n v="32855"/>
  </r>
  <r>
    <x v="2"/>
    <x v="2"/>
    <x v="5"/>
    <n v="231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EF6F25-BDA3-467D-B788-DED9215959ED}" name="TD_Ventas2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31" firstHeaderRow="1" firstDataRow="1" firstDataCol="1"/>
  <pivotFields count="4"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Row" showAll="0">
      <items count="8">
        <item x="2"/>
        <item x="0"/>
        <item x="1"/>
        <item x="4"/>
        <item x="3"/>
        <item x="5"/>
        <item m="1" x="6"/>
        <item t="default"/>
      </items>
    </pivotField>
    <pivotField dataField="1" numFmtId="44" showAll="0"/>
  </pivotFields>
  <rowFields count="3">
    <field x="0"/>
    <field x="2"/>
    <field x="1"/>
  </rowFields>
  <rowItems count="28">
    <i>
      <x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>
      <x v="1"/>
    </i>
    <i r="1">
      <x/>
    </i>
    <i r="2">
      <x/>
    </i>
    <i r="2">
      <x v="1"/>
    </i>
    <i r="2">
      <x v="2"/>
    </i>
    <i r="1">
      <x v="4"/>
    </i>
    <i r="2">
      <x/>
    </i>
    <i r="2">
      <x v="1"/>
    </i>
    <i r="2">
      <x v="2"/>
    </i>
    <i>
      <x v="2"/>
    </i>
    <i r="1">
      <x v="3"/>
    </i>
    <i r="2">
      <x/>
    </i>
    <i r="2">
      <x v="1"/>
    </i>
    <i r="2">
      <x v="2"/>
    </i>
    <i r="1">
      <x v="5"/>
    </i>
    <i r="2">
      <x/>
    </i>
    <i r="2">
      <x v="1"/>
    </i>
    <i r="2">
      <x v="2"/>
    </i>
    <i t="grand">
      <x/>
    </i>
  </rowItems>
  <colItems count="1">
    <i/>
  </colItems>
  <dataFields count="1">
    <dataField name="Suma de Ventas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E46C2F-656F-48C8-A196-4EF339E285FA}" name="TD_Venta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D3:H14" firstHeaderRow="1" firstDataRow="2" firstDataCol="1"/>
  <pivotFields count="4">
    <pivotField axis="axisRow" showAll="0">
      <items count="4">
        <item x="0"/>
        <item x="1"/>
        <item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Row" multipleItemSelectionAllowed="1" showAll="0">
      <items count="8">
        <item x="2"/>
        <item x="0"/>
        <item x="1"/>
        <item x="4"/>
        <item x="3"/>
        <item x="5"/>
        <item m="1" x="6"/>
        <item t="default"/>
      </items>
    </pivotField>
    <pivotField dataField="1" numFmtId="44" showAll="0"/>
  </pivotFields>
  <rowFields count="2">
    <field x="0"/>
    <field x="2"/>
  </rowFields>
  <rowItems count="10">
    <i>
      <x/>
    </i>
    <i r="1">
      <x v="1"/>
    </i>
    <i r="1">
      <x v="2"/>
    </i>
    <i>
      <x v="1"/>
    </i>
    <i r="1">
      <x/>
    </i>
    <i r="1">
      <x v="4"/>
    </i>
    <i>
      <x v="2"/>
    </i>
    <i r="1">
      <x v="3"/>
    </i>
    <i r="1"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a de Ventas" fld="3" baseField="0" baseItem="0" numFmtId="164"/>
  </dataFields>
  <chartFormats count="3"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E6F481-14CA-46DF-9770-A10D739BE323}" name="TD_Ventas_Region" cacheId="81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1" rowHeaderCaption="Región">
  <location ref="N14:O17" firstHeaderRow="1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showAll="0">
      <items count="8">
        <item x="2"/>
        <item h="1" m="1" x="6"/>
        <item x="0"/>
        <item x="1"/>
        <item x="4"/>
        <item x="3"/>
        <item x="5"/>
        <item t="default"/>
      </items>
    </pivotField>
    <pivotField dataField="1" numFmtId="44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/ Ventas" fld="3" baseField="0" baseItem="0" numFmtId="164"/>
  </dataFields>
  <formats count="10">
    <format dxfId="350">
      <pivotArea type="all" dataOnly="0" outline="0" fieldPosition="0"/>
    </format>
    <format dxfId="351">
      <pivotArea outline="0" collapsedLevelsAreSubtotals="1" fieldPosition="0"/>
    </format>
    <format dxfId="352">
      <pivotArea field="0" type="button" dataOnly="0" labelOnly="1" outline="0" axis="axisRow" fieldPosition="0"/>
    </format>
    <format dxfId="353">
      <pivotArea dataOnly="0" labelOnly="1" fieldPosition="0">
        <references count="1">
          <reference field="0" count="0"/>
        </references>
      </pivotArea>
    </format>
    <format dxfId="354">
      <pivotArea dataOnly="0" labelOnly="1" outline="0" axis="axisValues" fieldPosition="0"/>
    </format>
    <format dxfId="349">
      <pivotArea type="all" dataOnly="0" outline="0" fieldPosition="0"/>
    </format>
    <format dxfId="348">
      <pivotArea outline="0" collapsedLevelsAreSubtotals="1" fieldPosition="0"/>
    </format>
    <format dxfId="347">
      <pivotArea field="0" type="button" dataOnly="0" labelOnly="1" outline="0" axis="axisRow" fieldPosition="0"/>
    </format>
    <format dxfId="346">
      <pivotArea dataOnly="0" labelOnly="1" fieldPosition="0">
        <references count="1">
          <reference field="0" count="0"/>
        </references>
      </pivotArea>
    </format>
    <format dxfId="345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AD463-2614-475D-A5D6-7B17F36C809C}" name="TD_Max_Ventas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Región">
  <location ref="O6:O7" firstHeaderRow="1" firstDataRow="1" firstDataCol="0"/>
  <pivotFields count="4">
    <pivotField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showAll="0">
      <items count="8">
        <item x="2"/>
        <item h="1" m="1" x="6"/>
        <item x="0"/>
        <item x="1"/>
        <item x="4"/>
        <item x="3"/>
        <item x="5"/>
        <item t="default"/>
      </items>
    </pivotField>
    <pivotField dataField="1" numFmtId="44" showAll="0"/>
  </pivotFields>
  <rowItems count="1">
    <i/>
  </rowItems>
  <colItems count="1">
    <i/>
  </colItems>
  <dataFields count="1">
    <dataField name="Máx. de Ventas" fld="3" subtotal="max" baseField="0" baseItem="0" numFmtId="164"/>
  </dataFields>
  <formats count="15">
    <format dxfId="315">
      <pivotArea type="all" dataOnly="0" outline="0" fieldPosition="0"/>
    </format>
    <format dxfId="316">
      <pivotArea outline="0" collapsedLevelsAreSubtotals="1" fieldPosition="0"/>
    </format>
    <format dxfId="317">
      <pivotArea dataOnly="0" labelOnly="1" outline="0" axis="axisValues" fieldPosition="0"/>
    </format>
    <format dxfId="318">
      <pivotArea type="all" dataOnly="0" outline="0" fieldPosition="0"/>
    </format>
    <format dxfId="319">
      <pivotArea outline="0" collapsedLevelsAreSubtotals="1" fieldPosition="0"/>
    </format>
    <format dxfId="320">
      <pivotArea dataOnly="0" labelOnly="1" outline="0" axis="axisValues" fieldPosition="0"/>
    </format>
    <format dxfId="321">
      <pivotArea type="all" dataOnly="0" outline="0" fieldPosition="0"/>
    </format>
    <format dxfId="322">
      <pivotArea outline="0" collapsedLevelsAreSubtotals="1" fieldPosition="0"/>
    </format>
    <format dxfId="323">
      <pivotArea dataOnly="0" labelOnly="1" outline="0" axis="axisValues" fieldPosition="0"/>
    </format>
    <format dxfId="324">
      <pivotArea type="all" dataOnly="0" outline="0" fieldPosition="0"/>
    </format>
    <format dxfId="325">
      <pivotArea outline="0" collapsedLevelsAreSubtotals="1" fieldPosition="0"/>
    </format>
    <format dxfId="326">
      <pivotArea dataOnly="0" labelOnly="1" outline="0" axis="axisValues" fieldPosition="0"/>
    </format>
    <format dxfId="327">
      <pivotArea type="all" dataOnly="0" outline="0" fieldPosition="0"/>
    </format>
    <format dxfId="328">
      <pivotArea outline="0" collapsedLevelsAreSubtotals="1" fieldPosition="0"/>
    </format>
    <format dxfId="32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C112E7-181F-46BF-B0F8-43AF9B9F1081}" name="TD_Total_General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Región">
  <location ref="N6:N7" firstHeaderRow="1" firstDataRow="1" firstDataCol="0"/>
  <pivotFields count="4">
    <pivotField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showAll="0">
      <items count="8">
        <item x="2"/>
        <item h="1" m="1" x="6"/>
        <item x="0"/>
        <item x="1"/>
        <item x="4"/>
        <item x="3"/>
        <item x="5"/>
        <item t="default"/>
      </items>
    </pivotField>
    <pivotField dataField="1" numFmtId="44" showAll="0"/>
  </pivotFields>
  <rowItems count="1">
    <i/>
  </rowItems>
  <colItems count="1">
    <i/>
  </colItems>
  <dataFields count="1">
    <dataField name="Total General" fld="3" baseField="0" baseItem="0" numFmtId="164"/>
  </dataFields>
  <formats count="15">
    <format dxfId="300">
      <pivotArea type="all" dataOnly="0" outline="0" fieldPosition="0"/>
    </format>
    <format dxfId="301">
      <pivotArea outline="0" collapsedLevelsAreSubtotals="1" fieldPosition="0"/>
    </format>
    <format dxfId="302">
      <pivotArea dataOnly="0" labelOnly="1" outline="0" axis="axisValues" fieldPosition="0"/>
    </format>
    <format dxfId="303">
      <pivotArea type="all" dataOnly="0" outline="0" fieldPosition="0"/>
    </format>
    <format dxfId="304">
      <pivotArea outline="0" collapsedLevelsAreSubtotals="1" fieldPosition="0"/>
    </format>
    <format dxfId="305">
      <pivotArea dataOnly="0" labelOnly="1" outline="0" axis="axisValues" fieldPosition="0"/>
    </format>
    <format dxfId="306">
      <pivotArea type="all" dataOnly="0" outline="0" fieldPosition="0"/>
    </format>
    <format dxfId="307">
      <pivotArea outline="0" collapsedLevelsAreSubtotals="1" fieldPosition="0"/>
    </format>
    <format dxfId="308">
      <pivotArea dataOnly="0" labelOnly="1" outline="0" axis="axisValues" fieldPosition="0"/>
    </format>
    <format dxfId="309">
      <pivotArea type="all" dataOnly="0" outline="0" fieldPosition="0"/>
    </format>
    <format dxfId="310">
      <pivotArea outline="0" collapsedLevelsAreSubtotals="1" fieldPosition="0"/>
    </format>
    <format dxfId="311">
      <pivotArea dataOnly="0" labelOnly="1" outline="0" axis="axisValues" fieldPosition="0"/>
    </format>
    <format dxfId="312">
      <pivotArea type="all" dataOnly="0" outline="0" fieldPosition="0"/>
    </format>
    <format dxfId="313">
      <pivotArea outline="0" collapsedLevelsAreSubtotals="1" fieldPosition="0"/>
    </format>
    <format dxfId="31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9BA47-88DD-482E-9309-94DE68491ECC}" name="TD_Ventas_Vendedor" cacheId="81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1" rowHeaderCaption="Región">
  <location ref="N28:O34" firstHeaderRow="1" firstDataRow="1" firstDataCol="1"/>
  <pivotFields count="4">
    <pivotField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axis="axisRow" showAll="0">
      <items count="8">
        <item x="2"/>
        <item x="0"/>
        <item x="1"/>
        <item x="4"/>
        <item x="3"/>
        <item x="5"/>
        <item m="1" x="6"/>
        <item t="default"/>
      </items>
    </pivotField>
    <pivotField dataField="1" numFmtId="44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/ Ventas" fld="3" baseField="0" baseItem="0" numFmtId="164"/>
  </dataFields>
  <formats count="10">
    <format dxfId="280">
      <pivotArea type="all" dataOnly="0" outline="0" fieldPosition="0"/>
    </format>
    <format dxfId="281">
      <pivotArea outline="0" collapsedLevelsAreSubtotals="1" fieldPosition="0"/>
    </format>
    <format dxfId="282">
      <pivotArea field="2" type="button" dataOnly="0" labelOnly="1" outline="0" axis="axisRow" fieldPosition="0"/>
    </format>
    <format dxfId="283">
      <pivotArea dataOnly="0" labelOnly="1" fieldPosition="0">
        <references count="1">
          <reference field="2" count="0"/>
        </references>
      </pivotArea>
    </format>
    <format dxfId="284">
      <pivotArea dataOnly="0" labelOnly="1" outline="0" axis="axisValues" fieldPosition="0"/>
    </format>
    <format dxfId="285">
      <pivotArea type="all" dataOnly="0" outline="0" fieldPosition="0"/>
    </format>
    <format dxfId="286">
      <pivotArea outline="0" collapsedLevelsAreSubtotals="1" fieldPosition="0"/>
    </format>
    <format dxfId="287">
      <pivotArea field="2" type="button" dataOnly="0" labelOnly="1" outline="0" axis="axisRow" fieldPosition="0"/>
    </format>
    <format dxfId="288">
      <pivotArea dataOnly="0" labelOnly="1" fieldPosition="0">
        <references count="1">
          <reference field="2" count="0"/>
        </references>
      </pivotArea>
    </format>
    <format dxfId="289">
      <pivotArea dataOnly="0" labelOnly="1" outline="0" axis="axisValues" fieldPosition="0"/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EA977E-0439-4DF1-86CC-77B9AB31876C}" name="TD_Ventas_Producto" cacheId="81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1" rowHeaderCaption="Región">
  <location ref="N21:O24" firstHeaderRow="1" firstDataRow="1" firstDataCol="1"/>
  <pivotFields count="4"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>
      <items count="8">
        <item x="2"/>
        <item h="1" m="1" x="6"/>
        <item x="0"/>
        <item x="1"/>
        <item x="4"/>
        <item x="3"/>
        <item x="5"/>
        <item t="default"/>
      </items>
    </pivotField>
    <pivotField dataField="1" numFmtId="44"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/ Ventas" fld="3" baseField="0" baseItem="0" numFmtId="164"/>
  </dataFields>
  <formats count="10">
    <format dxfId="290">
      <pivotArea type="all" dataOnly="0" outline="0" fieldPosition="0"/>
    </format>
    <format dxfId="291">
      <pivotArea outline="0" collapsedLevelsAreSubtotals="1" fieldPosition="0"/>
    </format>
    <format dxfId="292">
      <pivotArea field="1" type="button" dataOnly="0" labelOnly="1" outline="0" axis="axisRow" fieldPosition="0"/>
    </format>
    <format dxfId="293">
      <pivotArea dataOnly="0" labelOnly="1" fieldPosition="0">
        <references count="1">
          <reference field="1" count="0"/>
        </references>
      </pivotArea>
    </format>
    <format dxfId="294">
      <pivotArea dataOnly="0" labelOnly="1" outline="0" axis="axisValues" fieldPosition="0"/>
    </format>
    <format dxfId="295">
      <pivotArea type="all" dataOnly="0" outline="0" fieldPosition="0"/>
    </format>
    <format dxfId="296">
      <pivotArea outline="0" collapsedLevelsAreSubtotals="1" fieldPosition="0"/>
    </format>
    <format dxfId="297">
      <pivotArea field="1" type="button" dataOnly="0" labelOnly="1" outline="0" axis="axisRow" fieldPosition="0"/>
    </format>
    <format dxfId="298">
      <pivotArea dataOnly="0" labelOnly="1" fieldPosition="0">
        <references count="1">
          <reference field="1" count="0"/>
        </references>
      </pivotArea>
    </format>
    <format dxfId="299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1" xr10:uid="{48BCFB61-F22A-4BFD-9090-0EAD06A33FC5}" sourceName="Region">
  <pivotTables>
    <pivotTable tabId="4" name="TD_Max_Ventas"/>
    <pivotTable tabId="4" name="TD_Total_General"/>
    <pivotTable tabId="4" name="TD_Ventas_Producto"/>
    <pivotTable tabId="4" name="TD_Ventas_Vendedor"/>
  </pivotTables>
  <data>
    <tabular pivotCacheId="31951625">
      <items count="3">
        <i x="0" s="1"/>
        <i x="1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1" xr10:uid="{8A02C3A7-5E57-4234-918C-C8594DF294AE}" sourceName="Producto">
  <pivotTables>
    <pivotTable tabId="4" name="TD_Max_Ventas"/>
    <pivotTable tabId="4" name="TD_Total_General"/>
    <pivotTable tabId="4" name="TD_Ventas_Vendedor"/>
    <pivotTable tabId="4" name="TD_Ventas_Region"/>
  </pivotTables>
  <data>
    <tabular pivotCacheId="31951625">
      <items count="3">
        <i x="0" s="1"/>
        <i x="1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1" xr10:uid="{7F856E0E-0558-410F-8BC4-AAF8B25A65D7}" sourceName="Vendedor">
  <pivotTables>
    <pivotTable tabId="4" name="TD_Max_Ventas"/>
    <pivotTable tabId="4" name="TD_Total_General"/>
    <pivotTable tabId="4" name="TD_Ventas_Producto"/>
    <pivotTable tabId="4" name="TD_Ventas_Region"/>
  </pivotTables>
  <data>
    <tabular pivotCacheId="31951625">
      <items count="7">
        <i x="2" s="1"/>
        <i x="0" s="1"/>
        <i x="1" s="1"/>
        <i x="4" s="1"/>
        <i x="3" s="1"/>
        <i x="5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" xr10:uid="{B6F77AF3-EDE4-4EC6-ADF4-0B8BC030E744}" sourceName="Region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" xr10:uid="{25C19EE3-5267-4AC3-B95B-EF2A67A68DAC}" sourceName="Product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61619166-9045-40E9-8A82-8B434E6FAC07}" sourceName="Vendedor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FDB62068-BF73-45AD-BF6D-1A978443C752}" cache="SegmentaciónDeDatos_Region" caption="Region" rowHeight="234950"/>
  <slicer name="Producto" xr10:uid="{76BC58F4-7123-4CDF-8ED4-AA7CC88DF79F}" cache="SegmentaciónDeDatos_Producto" caption="Producto" style="SlicerStyleLight2" rowHeight="234950"/>
  <slicer name="Vendedor" xr10:uid="{B0A2C975-57A6-425D-9725-D38953B51ABF}" cache="SegmentaciónDeDatos_Vendedor" caption="Vendedor" columnCount="3" style="SlicerStyleOther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 1" xr10:uid="{866972C2-3822-40B5-A905-790350D82671}" cache="SegmentaciónDeDatos_Region1" caption="Region" rowHeight="234950"/>
  <slicer name="Producto 1" xr10:uid="{8AB71DAB-6F52-4D1E-AD39-44CABE780FD2}" cache="SegmentaciónDeDatos_Producto1" caption="Producto" style="SlicerStyleDark2" rowHeight="234950"/>
  <slicer name="Vendedor 1" xr10:uid="{704E5541-E869-49B4-A3E7-AD98563C78E7}" cache="SegmentaciónDeDatos_Vendedor1" caption="Vendedor" columnCount="2" style="SlicerStyleLight6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63FEA8-C21C-4538-B293-B8CC0FED0FD4}" name="Tabla1" displayName="Tabla1" ref="A1:D20" totalsRowCount="1">
  <autoFilter ref="A1:D19" xr:uid="{0063FEA8-C21C-4538-B293-B8CC0FED0FD4}"/>
  <tableColumns count="4">
    <tableColumn id="1" xr3:uid="{BE22D2E8-9AC4-433E-B7BD-F5735D26736C}" name="Region" totalsRowLabel="Total"/>
    <tableColumn id="2" xr3:uid="{3784021C-3A20-4C11-9241-BE3EF2A28155}" name="Producto"/>
    <tableColumn id="3" xr3:uid="{0377F774-FDC2-452D-849F-CE500DC81E0B}" name="Vendedor"/>
    <tableColumn id="4" xr3:uid="{C68B8DC7-C7BD-45E2-BA0A-DEF85836322C}" name="Ventas" totalsRowFunction="sum" dataDxfId="357" totalsRowDxfId="35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5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20"/>
  <sheetViews>
    <sheetView workbookViewId="0">
      <selection activeCell="F22" sqref="F22"/>
    </sheetView>
  </sheetViews>
  <sheetFormatPr baseColWidth="10" defaultColWidth="9" defaultRowHeight="13.8" x14ac:dyDescent="0.25"/>
  <cols>
    <col min="1" max="3" width="11.296875" customWidth="1"/>
    <col min="4" max="4" width="13.69921875" style="1" customWidth="1"/>
  </cols>
  <sheetData>
    <row r="1" spans="1:4" x14ac:dyDescent="0.25">
      <c r="A1" t="s">
        <v>0</v>
      </c>
      <c r="B1" t="s">
        <v>1</v>
      </c>
      <c r="C1" t="s">
        <v>2</v>
      </c>
      <c r="D1" s="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8287</v>
      </c>
    </row>
    <row r="3" spans="1:4" x14ac:dyDescent="0.25">
      <c r="A3" t="s">
        <v>4</v>
      </c>
      <c r="B3" t="s">
        <v>5</v>
      </c>
      <c r="C3" t="s">
        <v>7</v>
      </c>
      <c r="D3" s="1">
        <v>6909</v>
      </c>
    </row>
    <row r="4" spans="1:4" x14ac:dyDescent="0.25">
      <c r="A4" t="s">
        <v>4</v>
      </c>
      <c r="B4" t="s">
        <v>8</v>
      </c>
      <c r="C4" t="s">
        <v>6</v>
      </c>
      <c r="D4" s="1">
        <v>11420</v>
      </c>
    </row>
    <row r="5" spans="1:4" x14ac:dyDescent="0.25">
      <c r="A5" t="s">
        <v>4</v>
      </c>
      <c r="B5" t="s">
        <v>8</v>
      </c>
      <c r="C5" t="s">
        <v>7</v>
      </c>
      <c r="D5" s="1">
        <v>12948</v>
      </c>
    </row>
    <row r="6" spans="1:4" x14ac:dyDescent="0.25">
      <c r="A6" t="s">
        <v>4</v>
      </c>
      <c r="B6" t="s">
        <v>9</v>
      </c>
      <c r="C6" t="s">
        <v>6</v>
      </c>
      <c r="D6" s="1">
        <v>20098</v>
      </c>
    </row>
    <row r="7" spans="1:4" x14ac:dyDescent="0.25">
      <c r="A7" t="s">
        <v>4</v>
      </c>
      <c r="B7" t="s">
        <v>9</v>
      </c>
      <c r="C7" t="s">
        <v>7</v>
      </c>
      <c r="D7" s="1">
        <v>30633</v>
      </c>
    </row>
    <row r="8" spans="1:4" x14ac:dyDescent="0.25">
      <c r="A8" t="s">
        <v>10</v>
      </c>
      <c r="B8" t="s">
        <v>5</v>
      </c>
      <c r="C8" t="s">
        <v>11</v>
      </c>
      <c r="D8" s="1">
        <v>9323</v>
      </c>
    </row>
    <row r="9" spans="1:4" x14ac:dyDescent="0.25">
      <c r="A9" t="s">
        <v>10</v>
      </c>
      <c r="B9" t="s">
        <v>5</v>
      </c>
      <c r="C9" t="s">
        <v>12</v>
      </c>
      <c r="D9" s="1">
        <v>7667</v>
      </c>
    </row>
    <row r="10" spans="1:4" x14ac:dyDescent="0.25">
      <c r="A10" t="s">
        <v>10</v>
      </c>
      <c r="B10" t="s">
        <v>8</v>
      </c>
      <c r="C10" t="s">
        <v>11</v>
      </c>
      <c r="D10" s="1">
        <v>10348</v>
      </c>
    </row>
    <row r="11" spans="1:4" x14ac:dyDescent="0.25">
      <c r="A11" t="s">
        <v>10</v>
      </c>
      <c r="B11" t="s">
        <v>8</v>
      </c>
      <c r="C11" t="s">
        <v>12</v>
      </c>
      <c r="D11" s="1">
        <v>9312</v>
      </c>
    </row>
    <row r="12" spans="1:4" x14ac:dyDescent="0.25">
      <c r="A12" t="s">
        <v>10</v>
      </c>
      <c r="B12" t="s">
        <v>9</v>
      </c>
      <c r="C12" t="s">
        <v>11</v>
      </c>
      <c r="D12" s="1">
        <v>13531</v>
      </c>
    </row>
    <row r="13" spans="1:4" x14ac:dyDescent="0.25">
      <c r="A13" t="s">
        <v>10</v>
      </c>
      <c r="B13" t="s">
        <v>9</v>
      </c>
      <c r="C13" t="s">
        <v>12</v>
      </c>
      <c r="D13" s="1">
        <v>13374</v>
      </c>
    </row>
    <row r="14" spans="1:4" x14ac:dyDescent="0.25">
      <c r="A14" t="s">
        <v>13</v>
      </c>
      <c r="B14" t="s">
        <v>5</v>
      </c>
      <c r="C14" t="s">
        <v>14</v>
      </c>
      <c r="D14" s="1">
        <v>4744</v>
      </c>
    </row>
    <row r="15" spans="1:4" x14ac:dyDescent="0.25">
      <c r="A15" t="s">
        <v>13</v>
      </c>
      <c r="B15" t="s">
        <v>5</v>
      </c>
      <c r="C15" t="s">
        <v>15</v>
      </c>
      <c r="D15" s="1">
        <v>5442</v>
      </c>
    </row>
    <row r="16" spans="1:4" x14ac:dyDescent="0.25">
      <c r="A16" t="s">
        <v>13</v>
      </c>
      <c r="B16" t="s">
        <v>8</v>
      </c>
      <c r="C16" t="s">
        <v>14</v>
      </c>
      <c r="D16" s="1">
        <v>10711</v>
      </c>
    </row>
    <row r="17" spans="1:4" x14ac:dyDescent="0.25">
      <c r="A17" t="s">
        <v>13</v>
      </c>
      <c r="B17" t="s">
        <v>8</v>
      </c>
      <c r="C17" t="s">
        <v>15</v>
      </c>
      <c r="D17" s="1">
        <v>8780</v>
      </c>
    </row>
    <row r="18" spans="1:4" x14ac:dyDescent="0.25">
      <c r="A18" t="s">
        <v>13</v>
      </c>
      <c r="B18" t="s">
        <v>9</v>
      </c>
      <c r="C18" t="s">
        <v>14</v>
      </c>
      <c r="D18" s="1">
        <v>32855</v>
      </c>
    </row>
    <row r="19" spans="1:4" x14ac:dyDescent="0.25">
      <c r="A19" t="s">
        <v>13</v>
      </c>
      <c r="B19" t="s">
        <v>9</v>
      </c>
      <c r="C19" t="s">
        <v>15</v>
      </c>
      <c r="D19" s="1">
        <v>23151</v>
      </c>
    </row>
    <row r="20" spans="1:4" x14ac:dyDescent="0.25">
      <c r="A20" t="s">
        <v>16</v>
      </c>
      <c r="D20" s="1">
        <f>SUBTOTAL(109,Tabla1[Ventas])</f>
        <v>239533</v>
      </c>
    </row>
  </sheetData>
  <conditionalFormatting sqref="E20">
    <cfRule type="top10" dxfId="355" priority="5" rank="10"/>
  </conditionalFormatting>
  <conditionalFormatting sqref="D2:D19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{3F86ED85-A731-4FDC-8B14-A50F76BBC941}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86ED85-A731-4FDC-8B14-A50F76BBC9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D2:D19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255DB-D796-4A92-A278-01C52E3A5DC8}">
  <sheetPr codeName="Hoja2"/>
  <dimension ref="A3:H31"/>
  <sheetViews>
    <sheetView topLeftCell="B4" workbookViewId="0">
      <selection activeCell="C15" sqref="C15"/>
    </sheetView>
  </sheetViews>
  <sheetFormatPr baseColWidth="10" defaultRowHeight="13.8" x14ac:dyDescent="0.25"/>
  <cols>
    <col min="1" max="1" width="16.8984375" bestFit="1" customWidth="1"/>
    <col min="2" max="2" width="15.19921875" bestFit="1" customWidth="1"/>
    <col min="3" max="3" width="11.3984375" customWidth="1"/>
    <col min="4" max="4" width="16.8984375" bestFit="1" customWidth="1"/>
    <col min="5" max="5" width="21.8984375" bestFit="1" customWidth="1"/>
    <col min="6" max="6" width="11.69921875" bestFit="1" customWidth="1"/>
    <col min="7" max="7" width="12.09765625" bestFit="1" customWidth="1"/>
    <col min="8" max="8" width="12.296875" bestFit="1" customWidth="1"/>
    <col min="10" max="10" width="10.3984375"/>
  </cols>
  <sheetData>
    <row r="3" spans="1:8" x14ac:dyDescent="0.25">
      <c r="A3" s="2" t="s">
        <v>18</v>
      </c>
      <c r="B3" t="s">
        <v>17</v>
      </c>
      <c r="D3" s="2" t="s">
        <v>17</v>
      </c>
      <c r="E3" s="2" t="s">
        <v>20</v>
      </c>
    </row>
    <row r="4" spans="1:8" x14ac:dyDescent="0.25">
      <c r="A4" s="3" t="s">
        <v>4</v>
      </c>
      <c r="B4" s="5">
        <v>90295</v>
      </c>
      <c r="D4" s="2" t="s">
        <v>18</v>
      </c>
      <c r="E4" t="s">
        <v>5</v>
      </c>
      <c r="F4" t="s">
        <v>8</v>
      </c>
      <c r="G4" t="s">
        <v>9</v>
      </c>
      <c r="H4" t="s">
        <v>19</v>
      </c>
    </row>
    <row r="5" spans="1:8" x14ac:dyDescent="0.25">
      <c r="A5" s="4" t="s">
        <v>6</v>
      </c>
      <c r="B5" s="5">
        <v>39805</v>
      </c>
      <c r="D5" s="3" t="s">
        <v>4</v>
      </c>
      <c r="E5" s="5">
        <v>15196</v>
      </c>
      <c r="F5" s="5">
        <v>24368</v>
      </c>
      <c r="G5" s="5">
        <v>50731</v>
      </c>
      <c r="H5" s="5">
        <v>90295</v>
      </c>
    </row>
    <row r="6" spans="1:8" x14ac:dyDescent="0.25">
      <c r="A6" s="6" t="s">
        <v>5</v>
      </c>
      <c r="B6" s="5">
        <v>8287</v>
      </c>
      <c r="D6" s="4" t="s">
        <v>6</v>
      </c>
      <c r="E6" s="5">
        <v>8287</v>
      </c>
      <c r="F6" s="5">
        <v>11420</v>
      </c>
      <c r="G6" s="5">
        <v>20098</v>
      </c>
      <c r="H6" s="5">
        <v>39805</v>
      </c>
    </row>
    <row r="7" spans="1:8" x14ac:dyDescent="0.25">
      <c r="A7" s="6" t="s">
        <v>8</v>
      </c>
      <c r="B7" s="5">
        <v>11420</v>
      </c>
      <c r="D7" s="4" t="s">
        <v>7</v>
      </c>
      <c r="E7" s="5">
        <v>6909</v>
      </c>
      <c r="F7" s="5">
        <v>12948</v>
      </c>
      <c r="G7" s="5">
        <v>30633</v>
      </c>
      <c r="H7" s="5">
        <v>50490</v>
      </c>
    </row>
    <row r="8" spans="1:8" x14ac:dyDescent="0.25">
      <c r="A8" s="6" t="s">
        <v>9</v>
      </c>
      <c r="B8" s="5">
        <v>20098</v>
      </c>
      <c r="D8" s="3" t="s">
        <v>10</v>
      </c>
      <c r="E8" s="5">
        <v>16990</v>
      </c>
      <c r="F8" s="5">
        <v>19660</v>
      </c>
      <c r="G8" s="5">
        <v>26905</v>
      </c>
      <c r="H8" s="5">
        <v>63555</v>
      </c>
    </row>
    <row r="9" spans="1:8" x14ac:dyDescent="0.25">
      <c r="A9" s="4" t="s">
        <v>7</v>
      </c>
      <c r="B9" s="5">
        <v>50490</v>
      </c>
      <c r="D9" s="4" t="s">
        <v>11</v>
      </c>
      <c r="E9" s="5">
        <v>9323</v>
      </c>
      <c r="F9" s="5">
        <v>10348</v>
      </c>
      <c r="G9" s="5">
        <v>13531</v>
      </c>
      <c r="H9" s="5">
        <v>33202</v>
      </c>
    </row>
    <row r="10" spans="1:8" x14ac:dyDescent="0.25">
      <c r="A10" s="6" t="s">
        <v>5</v>
      </c>
      <c r="B10" s="5">
        <v>6909</v>
      </c>
      <c r="D10" s="4" t="s">
        <v>12</v>
      </c>
      <c r="E10" s="5">
        <v>7667</v>
      </c>
      <c r="F10" s="5">
        <v>9312</v>
      </c>
      <c r="G10" s="5">
        <v>13374</v>
      </c>
      <c r="H10" s="5">
        <v>30353</v>
      </c>
    </row>
    <row r="11" spans="1:8" x14ac:dyDescent="0.25">
      <c r="A11" s="6" t="s">
        <v>8</v>
      </c>
      <c r="B11" s="5">
        <v>12948</v>
      </c>
      <c r="D11" s="3" t="s">
        <v>13</v>
      </c>
      <c r="E11" s="5">
        <v>10186</v>
      </c>
      <c r="F11" s="5">
        <v>19491</v>
      </c>
      <c r="G11" s="5">
        <v>56006</v>
      </c>
      <c r="H11" s="5">
        <v>85683</v>
      </c>
    </row>
    <row r="12" spans="1:8" x14ac:dyDescent="0.25">
      <c r="A12" s="6" t="s">
        <v>9</v>
      </c>
      <c r="B12" s="5">
        <v>30633</v>
      </c>
      <c r="D12" s="4" t="s">
        <v>14</v>
      </c>
      <c r="E12" s="5">
        <v>4744</v>
      </c>
      <c r="F12" s="5">
        <v>10711</v>
      </c>
      <c r="G12" s="5">
        <v>32855</v>
      </c>
      <c r="H12" s="5">
        <v>48310</v>
      </c>
    </row>
    <row r="13" spans="1:8" x14ac:dyDescent="0.25">
      <c r="A13" s="3" t="s">
        <v>10</v>
      </c>
      <c r="B13" s="5">
        <v>63555</v>
      </c>
      <c r="D13" s="4" t="s">
        <v>15</v>
      </c>
      <c r="E13" s="5">
        <v>5442</v>
      </c>
      <c r="F13" s="5">
        <v>8780</v>
      </c>
      <c r="G13" s="5">
        <v>23151</v>
      </c>
      <c r="H13" s="5">
        <v>37373</v>
      </c>
    </row>
    <row r="14" spans="1:8" x14ac:dyDescent="0.25">
      <c r="A14" s="4" t="s">
        <v>11</v>
      </c>
      <c r="B14" s="5">
        <v>33202</v>
      </c>
      <c r="D14" s="3" t="s">
        <v>19</v>
      </c>
      <c r="E14" s="5">
        <v>42372</v>
      </c>
      <c r="F14" s="5">
        <v>63519</v>
      </c>
      <c r="G14" s="5">
        <v>133642</v>
      </c>
      <c r="H14" s="5">
        <v>239533</v>
      </c>
    </row>
    <row r="15" spans="1:8" x14ac:dyDescent="0.25">
      <c r="A15" s="6" t="s">
        <v>5</v>
      </c>
      <c r="B15" s="5">
        <v>9323</v>
      </c>
    </row>
    <row r="16" spans="1:8" x14ac:dyDescent="0.25">
      <c r="A16" s="6" t="s">
        <v>8</v>
      </c>
      <c r="B16" s="5">
        <v>10348</v>
      </c>
    </row>
    <row r="17" spans="1:2" x14ac:dyDescent="0.25">
      <c r="A17" s="6" t="s">
        <v>9</v>
      </c>
      <c r="B17" s="5">
        <v>13531</v>
      </c>
    </row>
    <row r="18" spans="1:2" x14ac:dyDescent="0.25">
      <c r="A18" s="4" t="s">
        <v>12</v>
      </c>
      <c r="B18" s="5">
        <v>30353</v>
      </c>
    </row>
    <row r="19" spans="1:2" x14ac:dyDescent="0.25">
      <c r="A19" s="6" t="s">
        <v>5</v>
      </c>
      <c r="B19" s="5">
        <v>7667</v>
      </c>
    </row>
    <row r="20" spans="1:2" x14ac:dyDescent="0.25">
      <c r="A20" s="6" t="s">
        <v>8</v>
      </c>
      <c r="B20" s="5">
        <v>9312</v>
      </c>
    </row>
    <row r="21" spans="1:2" x14ac:dyDescent="0.25">
      <c r="A21" s="6" t="s">
        <v>9</v>
      </c>
      <c r="B21" s="5">
        <v>13374</v>
      </c>
    </row>
    <row r="22" spans="1:2" x14ac:dyDescent="0.25">
      <c r="A22" s="3" t="s">
        <v>13</v>
      </c>
      <c r="B22" s="5">
        <v>85683</v>
      </c>
    </row>
    <row r="23" spans="1:2" x14ac:dyDescent="0.25">
      <c r="A23" s="4" t="s">
        <v>14</v>
      </c>
      <c r="B23" s="5">
        <v>48310</v>
      </c>
    </row>
    <row r="24" spans="1:2" x14ac:dyDescent="0.25">
      <c r="A24" s="6" t="s">
        <v>5</v>
      </c>
      <c r="B24" s="5">
        <v>4744</v>
      </c>
    </row>
    <row r="25" spans="1:2" x14ac:dyDescent="0.25">
      <c r="A25" s="6" t="s">
        <v>8</v>
      </c>
      <c r="B25" s="5">
        <v>10711</v>
      </c>
    </row>
    <row r="26" spans="1:2" x14ac:dyDescent="0.25">
      <c r="A26" s="6" t="s">
        <v>9</v>
      </c>
      <c r="B26" s="5">
        <v>32855</v>
      </c>
    </row>
    <row r="27" spans="1:2" x14ac:dyDescent="0.25">
      <c r="A27" s="4" t="s">
        <v>15</v>
      </c>
      <c r="B27" s="5">
        <v>37373</v>
      </c>
    </row>
    <row r="28" spans="1:2" x14ac:dyDescent="0.25">
      <c r="A28" s="6" t="s">
        <v>5</v>
      </c>
      <c r="B28" s="5">
        <v>5442</v>
      </c>
    </row>
    <row r="29" spans="1:2" x14ac:dyDescent="0.25">
      <c r="A29" s="6" t="s">
        <v>8</v>
      </c>
      <c r="B29" s="5">
        <v>8780</v>
      </c>
    </row>
    <row r="30" spans="1:2" x14ac:dyDescent="0.25">
      <c r="A30" s="6" t="s">
        <v>9</v>
      </c>
      <c r="B30" s="5">
        <v>23151</v>
      </c>
    </row>
    <row r="31" spans="1:2" x14ac:dyDescent="0.25">
      <c r="A31" s="3" t="s">
        <v>19</v>
      </c>
      <c r="B31" s="5">
        <v>239533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90E96-71E6-4AA3-A01F-1ADA0779CCC3}">
  <sheetPr codeName="Hoja3"/>
  <dimension ref="B2:O36"/>
  <sheetViews>
    <sheetView showGridLines="0" tabSelected="1" zoomScaleNormal="100" workbookViewId="0">
      <selection activeCell="O38" sqref="O38"/>
    </sheetView>
  </sheetViews>
  <sheetFormatPr baseColWidth="10" defaultRowHeight="13.8" x14ac:dyDescent="0.25"/>
  <cols>
    <col min="2" max="2" width="13.8984375" customWidth="1"/>
    <col min="3" max="3" width="12" customWidth="1"/>
    <col min="14" max="14" width="13.69921875" bestFit="1" customWidth="1"/>
    <col min="15" max="15" width="15.3984375" bestFit="1" customWidth="1"/>
  </cols>
  <sheetData>
    <row r="2" spans="2:15" x14ac:dyDescent="0.25">
      <c r="B2" s="20" t="s">
        <v>25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2"/>
    </row>
    <row r="3" spans="2:15" x14ac:dyDescent="0.25">
      <c r="B3" s="23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4"/>
    </row>
    <row r="4" spans="2:15" x14ac:dyDescent="0.25">
      <c r="B4" s="23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4"/>
    </row>
    <row r="5" spans="2:15" x14ac:dyDescent="0.25">
      <c r="B5" s="9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10"/>
    </row>
    <row r="6" spans="2:15" ht="15.6" x14ac:dyDescent="0.3">
      <c r="B6" s="9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5" t="s">
        <v>24</v>
      </c>
      <c r="O6" s="25" t="s">
        <v>23</v>
      </c>
    </row>
    <row r="7" spans="2:15" ht="15.6" x14ac:dyDescent="0.3">
      <c r="B7" s="9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6">
        <v>239533</v>
      </c>
      <c r="O7" s="26">
        <v>32855</v>
      </c>
    </row>
    <row r="8" spans="2:15" x14ac:dyDescent="0.25">
      <c r="B8" s="9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10"/>
    </row>
    <row r="9" spans="2:15" x14ac:dyDescent="0.25">
      <c r="B9" s="9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10"/>
    </row>
    <row r="10" spans="2:15" x14ac:dyDescent="0.25">
      <c r="B10" s="9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10"/>
    </row>
    <row r="11" spans="2:15" x14ac:dyDescent="0.25">
      <c r="B11" s="9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10"/>
    </row>
    <row r="12" spans="2:15" x14ac:dyDescent="0.25">
      <c r="B12" s="9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10"/>
    </row>
    <row r="13" spans="2:15" x14ac:dyDescent="0.25">
      <c r="B13" s="9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10"/>
    </row>
    <row r="14" spans="2:15" x14ac:dyDescent="0.25">
      <c r="B14" s="9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7" t="s">
        <v>21</v>
      </c>
      <c r="O14" s="8" t="s">
        <v>22</v>
      </c>
    </row>
    <row r="15" spans="2:15" x14ac:dyDescent="0.25">
      <c r="B15" s="9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17" t="s">
        <v>4</v>
      </c>
      <c r="O15" s="15">
        <v>90295</v>
      </c>
    </row>
    <row r="16" spans="2:15" x14ac:dyDescent="0.25">
      <c r="B16" s="9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18" t="s">
        <v>10</v>
      </c>
      <c r="O16" s="16">
        <v>63555</v>
      </c>
    </row>
    <row r="17" spans="2:15" x14ac:dyDescent="0.25">
      <c r="B17" s="9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19" t="s">
        <v>13</v>
      </c>
      <c r="O17" s="14">
        <v>85683</v>
      </c>
    </row>
    <row r="18" spans="2:15" x14ac:dyDescent="0.25">
      <c r="B18" s="9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10"/>
    </row>
    <row r="19" spans="2:15" x14ac:dyDescent="0.25">
      <c r="B19" s="9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10"/>
    </row>
    <row r="20" spans="2:15" x14ac:dyDescent="0.25">
      <c r="B20" s="9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10"/>
    </row>
    <row r="21" spans="2:15" x14ac:dyDescent="0.25">
      <c r="B21" s="9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7" t="s">
        <v>21</v>
      </c>
      <c r="O21" s="8" t="s">
        <v>22</v>
      </c>
    </row>
    <row r="22" spans="2:15" x14ac:dyDescent="0.25">
      <c r="B22" s="9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17" t="s">
        <v>5</v>
      </c>
      <c r="O22" s="15">
        <v>42372</v>
      </c>
    </row>
    <row r="23" spans="2:15" x14ac:dyDescent="0.25">
      <c r="B23" s="9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18" t="s">
        <v>8</v>
      </c>
      <c r="O23" s="16">
        <v>63519</v>
      </c>
    </row>
    <row r="24" spans="2:15" x14ac:dyDescent="0.25">
      <c r="B24" s="9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19" t="s">
        <v>9</v>
      </c>
      <c r="O24" s="14">
        <v>133642</v>
      </c>
    </row>
    <row r="25" spans="2:15" x14ac:dyDescent="0.25">
      <c r="B25" s="9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0"/>
    </row>
    <row r="26" spans="2:15" x14ac:dyDescent="0.25">
      <c r="B26" s="9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10"/>
    </row>
    <row r="27" spans="2:15" x14ac:dyDescent="0.25">
      <c r="B27" s="9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10"/>
    </row>
    <row r="28" spans="2:15" x14ac:dyDescent="0.25">
      <c r="B28" s="9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7" t="s">
        <v>21</v>
      </c>
      <c r="O28" s="8" t="s">
        <v>22</v>
      </c>
    </row>
    <row r="29" spans="2:15" x14ac:dyDescent="0.25">
      <c r="B29" s="9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17" t="s">
        <v>11</v>
      </c>
      <c r="O29" s="15">
        <v>33202</v>
      </c>
    </row>
    <row r="30" spans="2:15" x14ac:dyDescent="0.25">
      <c r="B30" s="9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18" t="s">
        <v>6</v>
      </c>
      <c r="O30" s="16">
        <v>39805</v>
      </c>
    </row>
    <row r="31" spans="2:15" x14ac:dyDescent="0.25">
      <c r="B31" s="9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18" t="s">
        <v>7</v>
      </c>
      <c r="O31" s="16">
        <v>50490</v>
      </c>
    </row>
    <row r="32" spans="2:15" x14ac:dyDescent="0.25">
      <c r="B32" s="9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18" t="s">
        <v>14</v>
      </c>
      <c r="O32" s="16">
        <v>48310</v>
      </c>
    </row>
    <row r="33" spans="2:15" x14ac:dyDescent="0.25">
      <c r="B33" s="9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18" t="s">
        <v>12</v>
      </c>
      <c r="O33" s="16">
        <v>30353</v>
      </c>
    </row>
    <row r="34" spans="2:15" x14ac:dyDescent="0.25">
      <c r="B34" s="9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19" t="s">
        <v>15</v>
      </c>
      <c r="O34" s="14">
        <v>37373</v>
      </c>
    </row>
    <row r="35" spans="2:15" x14ac:dyDescent="0.25">
      <c r="B35" s="9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10"/>
    </row>
    <row r="36" spans="2:15" x14ac:dyDescent="0.25"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3"/>
    </row>
  </sheetData>
  <mergeCells count="1">
    <mergeCell ref="B2:O4"/>
  </mergeCells>
  <pageMargins left="0.7" right="0.7" top="0.75" bottom="0.75" header="0.3" footer="0.3"/>
  <pageSetup paperSize="9"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Ventas_Datos</vt:lpstr>
      <vt:lpstr>TD_Ventas</vt:lpstr>
      <vt:lpstr>Informe_Ventas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FABRIZIO</cp:lastModifiedBy>
  <dcterms:created xsi:type="dcterms:W3CDTF">2019-07-13T22:11:28Z</dcterms:created>
  <dcterms:modified xsi:type="dcterms:W3CDTF">2023-07-16T16:51:07Z</dcterms:modified>
</cp:coreProperties>
</file>